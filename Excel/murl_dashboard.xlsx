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Dashboard!$A$24:$P$30000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<sst xmlns="http://schemas.openxmlformats.org/spreadsheetml/2006/main" count="80" uniqueCount="52">
  <si>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</si>
  <si>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</si>
  <si>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</si>
  <si>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</si>
  <si>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</si>
  <si>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</si>
  <si>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</si>
  <si>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</si>
  <si>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</si>
  <si>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</si>
  <si>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</si>
  <si>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</si>
  <si>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</si>
  <si>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</si>
  <si>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</si>
  <si>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</si>
  <si>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</si>
  <si>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</si>
  <si>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</si>
  <si>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</si>
  <si>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</si>
  <si>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</si>
  <si>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</si>
  <si>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</si>
  <si>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</si>
  <si>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</si>
  <si>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</si>
  <si>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</si>
  <si>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</si>
  <si>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</si>
  <si>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AGGREGATION — Top 5 im aktuellen Filter</t>
  </si>
  <si>
    <t>Wert</t>
  </si>
  <si>
    <t>Anzahl</t>
  </si>
  <si>
    <t>Top Owners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</si>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</sst>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  <border>
      <left/>
      <right/>
      <top/>
      <bottom style="thin">
        <color rgb="FFCCCAB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3" fillId="3" borderId="9" xfId="0" applyFont="1" applyFill="1" applyBorder="1" applyAlignment="1">
      <alignment horizontal="left" vertical="center" indent="1"/>
    </xf>
    <xf numFmtId="0" fontId="3" fillId="3" borderId="9" xfId="0" applyFont="1" applyFill="1" applyBorder="1" applyAlignment="1">
      <alignment horizontal="right" vertical="center" indent="1"/>
    </xf>
    <xf numFmtId="0" fontId="9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 indent="1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right" vertical="center" indent="1"/>
    </xf>
    <xf numFmtId="0" fontId="8" fillId="4" borderId="1" xfId="0" applyFont="1" applyFill="1" applyBorder="1" applyAlignment="1">
      <alignment horizontal="left" vertical="center" indent="1"/>
    </xf>
    <xf numFmtId="0" fontId="13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IFERROR(SUMPRODUCT(--(INDEX(rngFilter,0,2)&lt;&gt;"")),0)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3" spans="1:16" ht="22" customHeight="1">
      <c r="A13" s="9" t="s">
        <v>30</v>
      </c>
    </row>
    <row r="14" spans="1:16" ht="24" customHeight="1">
      <c r="A14" s="12" t="s">
        <v>4</v>
      </c>
      <c r="B14" s="12"/>
      <c r="C14" s="12"/>
      <c r="D14" s="12"/>
      <c r="E14" s="12" t="s">
        <v>29</v>
      </c>
      <c r="F14" s="12"/>
      <c r="G14" s="12"/>
      <c r="H14" s="12"/>
      <c r="I14" s="12" t="s">
        <v>28</v>
      </c>
      <c r="J14" s="12"/>
      <c r="K14" s="12"/>
      <c r="L14" s="12"/>
      <c r="M14" s="12" t="s">
        <v>33</v>
      </c>
      <c r="N14" s="12"/>
      <c r="O14" s="12"/>
      <c r="P14" s="12"/>
    </row>
    <row r="15" spans="1:16" ht="20" customHeight="1">
      <c r="A15" s="13" t="s">
        <v>31</v>
      </c>
      <c r="B15" s="13"/>
      <c r="C15" s="13"/>
      <c r="D15" s="14" t="s">
        <v>32</v>
      </c>
      <c r="E15" s="13" t="s">
        <v>31</v>
      </c>
      <c r="F15" s="13"/>
      <c r="G15" s="13"/>
      <c r="H15" s="14" t="s">
        <v>32</v>
      </c>
      <c r="I15" s="13" t="s">
        <v>31</v>
      </c>
      <c r="J15" s="13"/>
      <c r="K15" s="13"/>
      <c r="L15" s="14" t="s">
        <v>32</v>
      </c>
      <c r="M15" s="13" t="s">
        <v>31</v>
      </c>
      <c r="N15" s="13"/>
      <c r="O15" s="13"/>
      <c r="P15" s="14" t="s">
        <v>32</v>
      </c>
    </row>
    <row r="16" spans="1:16" ht="20" customHeight="1">
      <c r="A16" s="15" cm="1">
        <f t="array" ref="A16">IFERROR(LET(col,LET(c,INDEX(rngFilter,0,5),IFERROR(_xlfn._xlws.FILTER(c,c&lt;&gt;""),"")),u,IFERROR(_xlfn.UNIQUE(col),""),c,IFERROR(_xlfn.BYROW(u,_xlfn.LAMBDA(v,SUMPRODUCT(--(col=v)))),0),_xlfn.CHOOSECOLS(_xlfn.TAKE(_xlfn._xlws.SORT(_xlfn.HSTACK(u,c),2,-1),5),1)),"")</f>
        <v>0</v>
      </c>
      <c r="B16" s="15"/>
      <c r="C16" s="15"/>
      <c r="D16" s="16" cm="1">
        <f t="array" ref="D16">IFERROR(LET(col,LET(c,INDEX(rngFilter,0,5),IFERROR(_xlfn._xlws.FILTER(c,c&lt;&gt;""),"")),u,IFERROR(_xlfn.UNIQUE(col),""),c,IFERROR(_xlfn.BYROW(u,_xlfn.LAMBDA(v,SUMPRODUCT(--(col=v)))),0),_xlfn.CHOOSECOLS(_xlfn.TAKE(_xlfn._xlws.SORT(_xlfn.HSTACK(u,c),2,-1),5),2)),"")</f>
        <v>0</v>
      </c>
      <c r="E16" s="15" cm="1">
        <f t="array" ref="E16">IFERROR(LET(col,LET(c,INDEX(rngFilter,0,15),IFERROR(_xlfn._xlws.FILTER(c,c&lt;&gt;""),"")),u,IFERROR(_xlfn.UNIQUE(col),""),c,IFERROR(_xlfn.BYROW(u,_xlfn.LAMBDA(v,SUMPRODUCT(--(col=v)))),0),_xlfn.CHOOSECOLS(_xlfn.TAKE(_xlfn._xlws.SORT(_xlfn.HSTACK(u,c),2,-1),5),1)),"")</f>
        <v>0</v>
      </c>
      <c r="F16" s="15"/>
      <c r="G16" s="15"/>
      <c r="H16" s="16" cm="1">
        <f t="array" ref="H16">IFERROR(LET(col,LET(c,INDEX(rngFilter,0,15),IFERROR(_xlfn._xlws.FILTER(c,c&lt;&gt;""),"")),u,IFERROR(_xlfn.UNIQUE(col),""),c,IFERROR(_xlfn.BYROW(u,_xlfn.LAMBDA(v,SUMPRODUCT(--(col=v)))),0),_xlfn.CHOOSECOLS(_xlfn.TAKE(_xlfn._xlws.SORT(_xlfn.HSTACK(u,c),2,-1),5),2)),"")</f>
        <v>0</v>
      </c>
      <c r="I16" s="15" cm="1">
        <f t="array" ref="I16">IFERROR(LET(col,LET(c,INDEX(rngFilter,0,8),IFERROR(_xlfn._xlws.FILTER(c,c&lt;&gt;""),"")),u,IFERROR(_xlfn.UNIQUE(col),""),c,IFERROR(_xlfn.BYROW(u,_xlfn.LAMBDA(v,SUMPRODUCT(--(col=v)))),0),_xlfn.CHOOSECOLS(_xlfn.TAKE(_xlfn._xlws.SORT(_xlfn.HSTACK(u,c),2,-1),5),1)),"")</f>
        <v>0</v>
      </c>
      <c r="J16" s="15"/>
      <c r="K16" s="15"/>
      <c r="L16" s="16" cm="1">
        <f t="array" ref="L16">IFERROR(LET(col,LET(c,INDEX(rngFilter,0,8),IFERROR(_xlfn._xlws.FILTER(c,c&lt;&gt;""),"")),u,IFERROR(_xlfn.UNIQUE(col),""),c,IFERROR(_xlfn.BYROW(u,_xlfn.LAMBDA(v,SUMPRODUCT(--(col=v)))),0),_xlfn.CHOOSECOLS(_xlfn.TAKE(_xlfn._xlws.SORT(_xlfn.HSTACK(u,c),2,-1),5),2)),"")</f>
        <v>0</v>
      </c>
      <c r="M16" s="15" cm="1">
        <f t="array" ref="M16">IFERROR(LET(col,LET(c1,INDEX(rngFilter,0,13),c2,INDEX(rngFilter,0,14),IFERROR(_xlfn._xlws.FILTER(_xlfn.VSTACK(c1,c2),_xlfn.VSTACK(c1,c2)&lt;&gt;""),"")),u,IFERROR(_xlfn.UNIQUE(col),""),c,IFERROR(_xlfn.BYROW(u,_xlfn.LAMBDA(v,SUMPRODUCT(--(col=v)))),0),_xlfn.CHOOSECOLS(_xlfn.TAKE(_xlfn._xlws.SORT(_xlfn.HSTACK(u,c),2,-1),5),1)),"")</f>
        <v>0</v>
      </c>
      <c r="N16" s="15"/>
      <c r="O16" s="15"/>
      <c r="P16" s="16" cm="1">
        <f t="array" ref="P16">IFERROR(LET(col,LET(c1,INDEX(rngFilter,0,13),c2,INDEX(rngFilter,0,14),IFERROR(_xlfn._xlws.FILTER(_xlfn.VSTACK(c1,c2),_xlfn.VSTACK(c1,c2)&lt;&gt;""),"")),u,IFERROR(_xlfn.UNIQUE(col),""),c,IFERROR(_xlfn.BYROW(u,_xlfn.LAMBDA(v,SUMPRODUCT(--(col=v)))),0),_xlfn.CHOOSECOLS(_xlfn.TAKE(_xlfn._xlws.SORT(_xlfn.HSTACK(u,c),2,-1),5),2)),"")</f>
        <v>0</v>
      </c>
    </row>
    <row r="17" spans="1:16" ht="20" customHeight="1">
      <c r="A17" s="15"/>
      <c r="B17" s="15"/>
      <c r="C17" s="15"/>
      <c r="D17" s="16"/>
      <c r="E17" s="15"/>
      <c r="F17" s="15"/>
      <c r="G17" s="15"/>
      <c r="H17" s="16"/>
      <c r="I17" s="15"/>
      <c r="J17" s="15"/>
      <c r="K17" s="15"/>
      <c r="L17" s="16"/>
      <c r="M17" s="15"/>
      <c r="N17" s="15"/>
      <c r="O17" s="15"/>
      <c r="P17" s="16"/>
    </row>
    <row r="18" spans="1:16" ht="20" customHeight="1">
      <c r="A18" s="15"/>
      <c r="B18" s="15"/>
      <c r="C18" s="15"/>
      <c r="D18" s="16"/>
      <c r="E18" s="15"/>
      <c r="F18" s="15"/>
      <c r="G18" s="15"/>
      <c r="H18" s="16"/>
      <c r="I18" s="15"/>
      <c r="J18" s="15"/>
      <c r="K18" s="15"/>
      <c r="L18" s="16"/>
      <c r="M18" s="15"/>
      <c r="N18" s="15"/>
      <c r="O18" s="15"/>
      <c r="P18" s="16"/>
    </row>
    <row r="19" spans="1:16" ht="20" customHeight="1">
      <c r="A19" s="15"/>
      <c r="B19" s="15"/>
      <c r="C19" s="15"/>
      <c r="D19" s="16"/>
      <c r="E19" s="15"/>
      <c r="F19" s="15"/>
      <c r="G19" s="15"/>
      <c r="H19" s="16"/>
      <c r="I19" s="15"/>
      <c r="J19" s="15"/>
      <c r="K19" s="15"/>
      <c r="L19" s="16"/>
      <c r="M19" s="15"/>
      <c r="N19" s="15"/>
      <c r="O19" s="15"/>
      <c r="P19" s="16"/>
    </row>
    <row r="20" spans="1:16" ht="20" customHeight="1">
      <c r="A20" s="15"/>
      <c r="B20" s="15"/>
      <c r="C20" s="15"/>
      <c r="D20" s="16"/>
      <c r="E20" s="15"/>
      <c r="F20" s="15"/>
      <c r="G20" s="15"/>
      <c r="H20" s="16"/>
      <c r="I20" s="15"/>
      <c r="J20" s="15"/>
      <c r="K20" s="15"/>
      <c r="L20" s="16"/>
      <c r="M20" s="15"/>
      <c r="N20" s="15"/>
      <c r="O20" s="15"/>
      <c r="P20" s="16"/>
    </row>
    <row r="22" spans="1:16" ht="24" customHeight="1">
      <c r="A22" s="9" t="s">
        <v>34</v>
      </c>
      <c r="F22" s="17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7"/>
      <c r="H22" s="17"/>
      <c r="K22" s="18">
        <f>"Zeigt " &amp; TEXT(SUMPRODUCT(--(INDEX(rngFilter,0,2)&lt;&gt;"")),"#,##0") &amp; " von " &amp; TEXT(ROWS(tblData),"#,##0") &amp; " Einträgen"</f>
        <v>0</v>
      </c>
      <c r="L22" s="18"/>
      <c r="M22" s="18"/>
      <c r="N22" s="18"/>
      <c r="O22" s="18"/>
      <c r="P22" s="18"/>
    </row>
    <row r="23" spans="1:16" ht="26" customHeight="1">
      <c r="A23" s="19" t="s">
        <v>0</v>
      </c>
      <c r="B23" s="19" t="s">
        <v>1</v>
      </c>
      <c r="C23" s="19" t="s">
        <v>2</v>
      </c>
      <c r="D23" s="19" t="s">
        <v>3</v>
      </c>
      <c r="E23" s="19" t="s">
        <v>4</v>
      </c>
      <c r="F23" s="19" t="s">
        <v>5</v>
      </c>
      <c r="G23" s="19" t="s">
        <v>6</v>
      </c>
      <c r="H23" s="19" t="s">
        <v>7</v>
      </c>
      <c r="I23" s="19" t="s">
        <v>8</v>
      </c>
      <c r="J23" s="19" t="s">
        <v>9</v>
      </c>
      <c r="K23" s="19" t="s">
        <v>10</v>
      </c>
      <c r="L23" s="19" t="s">
        <v>11</v>
      </c>
      <c r="M23" s="19" t="s">
        <v>12</v>
      </c>
      <c r="N23" s="19" t="s">
        <v>13</v>
      </c>
      <c r="O23" s="19" t="s">
        <v>14</v>
      </c>
      <c r="P23" s="19" t="s">
        <v>15</v>
      </c>
    </row>
    <row r="24" spans="1:16">
      <c r="A24" cm="1">
        <f t="array" ref="A24">IFERROR(_xlfn._xlws.FILTER(tblData,(tblData[Reference]&lt;&gt;"")*((f_labels="")+ISNUMBER(SEARCH(f_labels,tblData[Labels])))*((f_murl="")+ISNUMBER(SEARCH(f_murl,tblData[MURL name])))*((f_target="")+ISNUMBER(SEARCH(f_target,tblData[Target URL])))*((f_owner="")+ISNUMBER(SEARCH(f_owner,tblData[GOTO/MURL Owner 1]))+ISNUMBER(SEARCH(f_owner,tblData[GOTO/MURL Owner 2])))*((f_status="")+ISNUMBER(SEARCH(f_status,tblData[Status])))*((f_requester="")+ISNUMBER(SEARCH(f_requester,tblData[Requester])))*((f_region="")+ISNUMBER(SEARCH(f_region,tblData[Region(s)])))*((f_division="")+ISNUMBER(SEARCH(f_division,tblData[Business Division requested for])))*((f_activation="")+ISNUMBER(SEARCH(f_activation,tblData[Activation])))),"Keine Treffer — Filter zurücksetzen")</f>
        <v>0</v>
      </c>
    </row>
  </sheetData>
  <mergeCells count="60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A14:D14"/>
    <mergeCell ref="A15:C15"/>
    <mergeCell ref="A16:C16"/>
    <mergeCell ref="A17:C17"/>
    <mergeCell ref="A18:C18"/>
    <mergeCell ref="A19:C19"/>
    <mergeCell ref="A20:C20"/>
    <mergeCell ref="E14:H14"/>
    <mergeCell ref="E15:G15"/>
    <mergeCell ref="E16:G16"/>
    <mergeCell ref="E17:G17"/>
    <mergeCell ref="E18:G18"/>
    <mergeCell ref="E19:G19"/>
    <mergeCell ref="E20:G20"/>
    <mergeCell ref="I14:L14"/>
    <mergeCell ref="I15:K15"/>
    <mergeCell ref="I16:K16"/>
    <mergeCell ref="I17:K17"/>
    <mergeCell ref="I18:K18"/>
    <mergeCell ref="I19:K19"/>
    <mergeCell ref="I20:K20"/>
    <mergeCell ref="M14:P14"/>
    <mergeCell ref="M15:O15"/>
    <mergeCell ref="M16:O16"/>
    <mergeCell ref="M17:O17"/>
    <mergeCell ref="M18:O18"/>
    <mergeCell ref="M19:O19"/>
    <mergeCell ref="M20:O20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20" t="s">
        <v>35</v>
      </c>
    </row>
    <row r="2" spans="1:1">
      <c r="A2" s="21"/>
    </row>
    <row r="3" spans="1:1">
      <c r="A3" s="22" t="s">
        <v>36</v>
      </c>
    </row>
    <row r="4" spans="1:1">
      <c r="A4" s="21" t="s">
        <v>37</v>
      </c>
    </row>
    <row r="5" spans="1:1">
      <c r="A5" s="21" t="s">
        <v>38</v>
      </c>
    </row>
    <row r="6" spans="1:1">
      <c r="A6" s="21" t="s">
        <v>39</v>
      </c>
    </row>
    <row r="7" spans="1:1">
      <c r="A7" s="21" t="s">
        <v>40</v>
      </c>
    </row>
    <row r="8" spans="1:1">
      <c r="A8" s="21"/>
    </row>
    <row r="9" spans="1:1">
      <c r="A9" s="22" t="s">
        <v>41</v>
      </c>
    </row>
    <row r="10" spans="1:1">
      <c r="A10" s="21" t="s">
        <v>42</v>
      </c>
    </row>
    <row r="11" spans="1:1">
      <c r="A11" s="21"/>
    </row>
    <row r="12" spans="1:1">
      <c r="A12" s="22" t="s">
        <v>43</v>
      </c>
    </row>
    <row r="13" spans="1:1">
      <c r="A13" s="21" t="s">
        <v>44</v>
      </c>
    </row>
    <row r="14" spans="1:1">
      <c r="A14" s="21" t="s">
        <v>45</v>
      </c>
    </row>
    <row r="15" spans="1:1">
      <c r="A15" s="9" t="s">
        <v>46</v>
      </c>
    </row>
    <row r="16" spans="1:1">
      <c r="A16" s="21" t="s">
        <v>47</v>
      </c>
    </row>
    <row r="17" spans="1:1">
      <c r="A17" s="21" t="s">
        <v>48</v>
      </c>
    </row>
    <row r="18" spans="1:1">
      <c r="A18" s="21"/>
    </row>
    <row r="19" spans="1:1">
      <c r="A19" s="22" t="s">
        <v>49</v>
      </c>
    </row>
    <row r="20" spans="1:1">
      <c r="A20" s="21" t="s">
        <v>50</v>
      </c>
    </row>
    <row r="21" spans="1:1">
      <c r="A21" s="21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2026-05-18T13:26:16Z</dcterms:created>
  <dcterms:modified xsi:type="dcterms:W3CDTF">2026-05-18T13:26:16Z</dcterms:modified>
</cp:coreProperties>
</file>