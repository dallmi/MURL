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ta" sheetId="2" r:id="rId2"/>
    <sheet name="Lists" sheetId="3" state="hidden" r:id="rId3"/>
    <sheet name="Anleitung" sheetId="4" r:id="rId4"/>
  </sheets>
  <definedNames>
    <definedName name="f_activation">Dashboard!$M$11</definedName>
    <definedName name="f_division">Dashboard!$J$11</definedName>
    <definedName name="f_labels">Dashboard!$A$9</definedName>
    <definedName name="f_murl">Dashboard!$D$9</definedName>
    <definedName name="f_owner">Dashboard!$J$9</definedName>
    <definedName name="f_region">Dashboard!$G$11</definedName>
    <definedName name="f_requester">Dashboard!$D$11</definedName>
    <definedName name="f_status">Dashboard!$A$11</definedName>
    <definedName name="f_target">Dashboard!$G$9</definedName>
    <definedName name="lstActivation">Lists!$I$1:$I$1</definedName>
    <definedName name="lstDivision">Lists!$G$1:$G$1</definedName>
    <definedName name="lstRegion">Lists!$E$1:$E$1</definedName>
    <definedName name="lstRequester">Lists!$C$1:$C$1</definedName>
    <definedName name="lstStatus">Lists!$A$1:$A$1</definedName>
    <definedName name="rngFilter">Dashboard!$A$24:$P$30000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<sst xmlns="http://schemas.openxmlformats.org/spreadsheetml/2006/main" count="80" uniqueCount="52">
  <si>
    <t>Labels</t>
  </si>
  <si>
    <t>Reference</t>
  </si>
  <si>
    <t>MURL</t>
  </si>
  <si>
    <t>Service project</t>
  </si>
  <si>
    <t>Status</t>
  </si>
  <si>
    <t>Requester</t>
  </si>
  <si>
    <t>Type</t>
  </si>
  <si>
    <t>Region(s)</t>
  </si>
  <si>
    <t>Line manager</t>
  </si>
  <si>
    <t>MURL name</t>
  </si>
  <si>
    <t>Activation</t>
  </si>
  <si>
    <t>Properties</t>
  </si>
  <si>
    <t>GOTO/MURL Owner 1</t>
  </si>
  <si>
    <t>GOTO/MURL Owner 2</t>
  </si>
  <si>
    <t>Business Division requested for</t>
  </si>
  <si>
    <t>Target URL</t>
  </si>
  <si>
    <t>MURL Dashboard</t>
  </si>
  <si>
    <t>Filter unten setzen — Dropdowns oder freier Text, Contains-Suche überall. Aggregation und KPIs reagieren live.</t>
  </si>
  <si>
    <t>TOTAL</t>
  </si>
  <si>
    <t>ACTIVE</t>
  </si>
  <si>
    <t>SCHEDULED</t>
  </si>
  <si>
    <t>PENDING</t>
  </si>
  <si>
    <t>DEACTIVATED</t>
  </si>
  <si>
    <t>FILTER</t>
  </si>
  <si>
    <t>Labels (Suche, z.B. ITO-12345)</t>
  </si>
  <si>
    <t>MURL Name (Suche)</t>
  </si>
  <si>
    <t>Target URL (Suche)</t>
  </si>
  <si>
    <t>Owners (Owner 1 oder 2)</t>
  </si>
  <si>
    <t>Region</t>
  </si>
  <si>
    <t>Business Division</t>
  </si>
  <si>
    <t>AGGREGATION — Top 5 im aktuellen Filter</t>
  </si>
  <si>
    <t>Wert</t>
  </si>
  <si>
    <t>Anzahl</t>
  </si>
  <si>
    <t>Top Owners</t>
  </si>
  <si>
    <t>ERGEBNISSE</t>
  </si>
  <si>
    <t>Anleitung — MURL Dashboard (Pro)</t>
  </si>
  <si>
    <t>1. Filter nutzen</t>
  </si>
  <si>
    <t>Alle Filter sind Contains-Search: leeres Feld = kein Filter, jeder eingegebene Text wird als Teilstring gesucht.</t>
  </si>
  <si>
    <t>Dropdowns zeigen alle vorhandenen Werte — Auswahl ODER freies Tippen (z.B. 'GW' findet 'GWM' und 'GWM Americas').</t>
  </si>
  <si>
    <t>Owners-Suche prüft sowohl 'GOTO/MURL Owner 1' als auch 'Owner 2'.</t>
  </si>
  <si>
    <t>Filter zurücksetzen: Zelle markieren, Entf drücken.</t>
  </si>
  <si>
    <t>2. KPIs</t>
  </si>
  <si>
    <t>Die 5 Kacheln oben aktualisieren sich live — sie zählen nur die aktuell gefilterten Treffer.</t>
  </si>
  <si>
    <t>3. Refresh (neu bauen mit aktualisierten Daten)</t>
  </si>
  <si>
    <t>Tableau-CSV-Export als 'requests.csv' in den Unterordner 'input/' legen.</t>
  </si>
  <si>
    <t>Im Terminal/CMD im Excel-Ordner ausführen:</t>
  </si>
  <si>
    <t xml:space="preserve">   python build_dashboard_pro.py</t>
  </si>
  <si>
    <t>Das Skript liest input/requests.csv und überschreibt murl_dashboard.xlsx.</t>
  </si>
  <si>
    <t>Voraussetzung: Python 3 + xlsxwriter (pip install xlsxwriter).</t>
  </si>
  <si>
    <t>4. Teilen via OneDrive</t>
  </si>
  <si>
    <t>Datei in OneDrive ablegen, mit Empfängern teilen — Excel for the Web supports FILTER/UNIQUE/SORT seit 2022.</t>
  </si>
  <si>
    <t>Voraussetzung: Excel 365. Nicht kompatibel mit Excel 2019 oder älter.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</si>
</sst>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11"/>
      <color rgb="FF7A7870"/>
      <name val="Calibri"/>
      <family val="2"/>
      <scheme val="minor"/>
    </font>
    <font>
      <b/>
      <sz val="10"/>
      <color rgb="FF7A7870"/>
      <name val="Calibri"/>
      <family val="2"/>
      <scheme val="minor"/>
    </font>
    <font>
      <sz val="22"/>
      <color rgb="FF000000"/>
      <name val="Calibri"/>
      <family val="2"/>
      <scheme val="minor"/>
    </font>
    <font>
      <b/>
      <sz val="11"/>
      <color rgb="FF404040"/>
      <name val="Calibri"/>
      <family val="2"/>
      <scheme val="minor"/>
    </font>
    <font>
      <sz val="10"/>
      <color rgb="FF7A787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60000"/>
      <name val="Calibri"/>
      <family val="2"/>
      <scheme val="minor"/>
    </font>
    <font>
      <b/>
      <sz val="12"/>
      <color rgb="FF40404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F7F5"/>
        <bgColor indexed="64"/>
      </patternFill>
    </fill>
    <fill>
      <patternFill patternType="solid">
        <fgColor rgb="FFECEBE4"/>
        <bgColor indexed="64"/>
      </patternFill>
    </fill>
    <fill>
      <patternFill patternType="solid">
        <fgColor rgb="FF40404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60000"/>
      </bottom>
      <diagonal/>
    </border>
    <border>
      <left style="thin">
        <color rgb="FFCCCABC"/>
      </left>
      <right style="thin">
        <color rgb="FFCCCABC"/>
      </right>
      <top style="thick">
        <color rgb="FFE60000"/>
      </top>
      <bottom/>
      <diagonal/>
    </border>
    <border>
      <left style="thin">
        <color rgb="FFCCCABC"/>
      </left>
      <right style="thin">
        <color rgb="FFCCCABC"/>
      </right>
      <top style="thick">
        <color rgb="FF6F7A1A"/>
      </top>
      <bottom/>
      <diagonal/>
    </border>
    <border>
      <left style="thin">
        <color rgb="FFCCCABC"/>
      </left>
      <right style="thin">
        <color rgb="FFCCCABC"/>
      </right>
      <top style="thick">
        <color rgb="FF0C7EC6"/>
      </top>
      <bottom/>
      <diagonal/>
    </border>
    <border>
      <left style="thin">
        <color rgb="FFCCCABC"/>
      </left>
      <right style="thin">
        <color rgb="FFCCCABC"/>
      </right>
      <top style="thick">
        <color rgb="FFE4A911"/>
      </top>
      <bottom/>
      <diagonal/>
    </border>
    <border>
      <left style="thin">
        <color rgb="FFCCCABC"/>
      </left>
      <right style="thin">
        <color rgb="FFCCCABC"/>
      </right>
      <top style="thick">
        <color rgb="FF7A7870"/>
      </top>
      <bottom/>
      <diagonal/>
    </border>
    <border>
      <left style="thin">
        <color rgb="FFCCCABC"/>
      </left>
      <right style="thin">
        <color rgb="FFCCCABC"/>
      </right>
      <top/>
      <bottom style="thin">
        <color rgb="FFCCCABC"/>
      </bottom>
      <diagonal/>
    </border>
    <border>
      <left style="thin">
        <color rgb="FF7A7870"/>
      </left>
      <right style="thin">
        <color rgb="FF7A7870"/>
      </right>
      <top style="thin">
        <color rgb="FF7A7870"/>
      </top>
      <bottom style="thin">
        <color rgb="FF7A7870"/>
      </bottom>
      <diagonal/>
    </border>
    <border>
      <left/>
      <right/>
      <top/>
      <bottom style="thin">
        <color rgb="FFCCCAB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2"/>
    </xf>
    <xf numFmtId="0" fontId="3" fillId="2" borderId="3" xfId="0" applyFont="1" applyFill="1" applyBorder="1" applyAlignment="1">
      <alignment horizontal="left" vertical="center" indent="2"/>
    </xf>
    <xf numFmtId="0" fontId="3" fillId="2" borderId="4" xfId="0" applyFont="1" applyFill="1" applyBorder="1" applyAlignment="1">
      <alignment horizontal="left" vertical="center" indent="2"/>
    </xf>
    <xf numFmtId="0" fontId="3" fillId="2" borderId="5" xfId="0" applyFont="1" applyFill="1" applyBorder="1" applyAlignment="1">
      <alignment horizontal="left" vertical="center" indent="2"/>
    </xf>
    <xf numFmtId="0" fontId="3" fillId="2" borderId="6" xfId="0" applyFont="1" applyFill="1" applyBorder="1" applyAlignment="1">
      <alignment horizontal="left" vertical="center" indent="2"/>
    </xf>
    <xf numFmtId="0" fontId="4" fillId="2" borderId="7" xfId="0" applyFont="1" applyFill="1" applyBorder="1" applyAlignment="1">
      <alignment horizontal="left" vertical="center" indent="2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7" fillId="3" borderId="8" xfId="0" applyFont="1" applyFill="1" applyBorder="1" applyAlignment="1">
      <alignment horizontal="left" vertical="center" indent="1"/>
    </xf>
    <xf numFmtId="0" fontId="8" fillId="4" borderId="0" xfId="0" applyFont="1" applyFill="1" applyAlignment="1">
      <alignment horizontal="left" vertical="center" indent="1"/>
    </xf>
    <xf numFmtId="0" fontId="3" fillId="3" borderId="9" xfId="0" applyFont="1" applyFill="1" applyBorder="1" applyAlignment="1">
      <alignment horizontal="left" vertical="center" indent="1"/>
    </xf>
    <xf numFmtId="0" fontId="3" fillId="3" borderId="9" xfId="0" applyFont="1" applyFill="1" applyBorder="1" applyAlignment="1">
      <alignment horizontal="right" vertical="center" indent="1"/>
    </xf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horizontal="right" vertical="center" indent="1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right" vertical="center" indent="1"/>
    </xf>
    <xf numFmtId="0" fontId="8" fillId="4" borderId="1" xfId="0" applyFont="1" applyFill="1" applyBorder="1" applyAlignment="1">
      <alignment horizontal="left" vertical="center" indent="1"/>
    </xf>
    <xf numFmtId="0" fontId="13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tblData" displayName="tblData" ref="A1:P2" totalsRowShown="0">
  <autoFilter ref="A1:P2"/>
  <tableColumns count="16">
    <tableColumn id="1" name="Labels"/>
    <tableColumn id="2" name="Reference"/>
    <tableColumn id="3" name="MURL"/>
    <tableColumn id="4" name="Service project"/>
    <tableColumn id="5" name="Status"/>
    <tableColumn id="6" name="Requester"/>
    <tableColumn id="7" name="Type"/>
    <tableColumn id="8" name="Region(s)"/>
    <tableColumn id="9" name="Line manager"/>
    <tableColumn id="10" name="MURL name"/>
    <tableColumn id="11" name="Activation"/>
    <tableColumn id="12" name="Properties"/>
    <tableColumn id="13" name="GOTO/MURL Owner 1"/>
    <tableColumn id="14" name="GOTO/MURL Owner 2"/>
    <tableColumn id="15" name="Business Division requested for"/>
    <tableColumn id="16" name="Target UR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showGridLines="0" tabSelected="1" workbookViewId="0">
      <pane ySplit="22" topLeftCell="A23" activePane="bottomLeft" state="frozen"/>
      <selection pane="bottomLeft"/>
    </sheetView>
  </sheetViews>
  <sheetFormatPr defaultRowHeight="15"/>
  <cols>
    <col min="1" max="2" width="14.7109375" customWidth="1"/>
    <col min="3" max="3" width="50.7109375" customWidth="1"/>
    <col min="4" max="4" width="14.7109375" customWidth="1"/>
    <col min="5" max="7" width="22.7109375" customWidth="1"/>
    <col min="8" max="8" width="14.7109375" customWidth="1"/>
    <col min="9" max="9" width="22.7109375" customWidth="1"/>
    <col min="10" max="10" width="24.7109375" customWidth="1"/>
    <col min="11" max="11" width="14.7109375" customWidth="1"/>
    <col min="12" max="12" width="24.7109375" customWidth="1"/>
    <col min="13" max="14" width="22.7109375" customWidth="1"/>
    <col min="15" max="15" width="30.7109375" customWidth="1"/>
    <col min="16" max="16" width="60.7109375" customWidth="1"/>
  </cols>
  <sheetData>
    <row r="1" spans="1:16" ht="40" customHeight="1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2" customHeight="1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22" customHeight="1">
      <c r="A4" s="3" t="s">
        <v>18</v>
      </c>
      <c r="B4" s="3"/>
      <c r="C4" s="3"/>
      <c r="D4" s="4" t="s">
        <v>19</v>
      </c>
      <c r="E4" s="4"/>
      <c r="F4" s="4"/>
      <c r="G4" s="5" t="s">
        <v>20</v>
      </c>
      <c r="H4" s="5"/>
      <c r="I4" s="5"/>
      <c r="J4" s="6" t="s">
        <v>21</v>
      </c>
      <c r="K4" s="6"/>
      <c r="L4" s="6"/>
      <c r="M4" s="7" t="s">
        <v>22</v>
      </c>
      <c r="N4" s="7"/>
      <c r="O4" s="7"/>
    </row>
    <row r="5" spans="1:16" ht="44" customHeight="1">
      <c r="A5" s="8">
        <f>IFERROR(SUMPRODUCT(--(INDEX(rngFilter,0,2)&lt;&gt;"")),0)</f>
        <v>0</v>
      </c>
      <c r="B5" s="8"/>
      <c r="C5" s="8"/>
      <c r="D5" s="8">
        <f>IFERROR(SUMPRODUCT(--(INDEX(rngFilter,0,5)="Active")),0)</f>
        <v>0</v>
      </c>
      <c r="E5" s="8"/>
      <c r="F5" s="8"/>
      <c r="G5" s="8">
        <f>IFERROR(SUMPRODUCT(--(INDEX(rngFilter,0,5)="Scheduled Activation")),0)</f>
        <v>0</v>
      </c>
      <c r="H5" s="8"/>
      <c r="I5" s="8"/>
      <c r="J5" s="8">
        <f>IFERROR(SUMPRODUCT(--(INDEX(rngFilter,0,5)="Pending Change")),0)</f>
        <v>0</v>
      </c>
      <c r="K5" s="8"/>
      <c r="L5" s="8"/>
      <c r="M5" s="8">
        <f>IFERROR(SUMPRODUCT(--(INDEX(rngFilter,0,5)="Deactivated")),0)</f>
        <v>0</v>
      </c>
      <c r="N5" s="8"/>
      <c r="O5" s="8"/>
    </row>
    <row r="7" spans="1:16" ht="22" customHeight="1">
      <c r="A7" s="9" t="s">
        <v>23</v>
      </c>
    </row>
    <row r="8" spans="1:16" ht="18" customHeight="1">
      <c r="A8" s="10" t="s">
        <v>24</v>
      </c>
      <c r="B8" s="10"/>
      <c r="C8" s="10"/>
      <c r="D8" s="10" t="s">
        <v>25</v>
      </c>
      <c r="E8" s="10"/>
      <c r="F8" s="10"/>
      <c r="G8" s="10" t="s">
        <v>26</v>
      </c>
      <c r="H8" s="10"/>
      <c r="I8" s="10"/>
      <c r="J8" s="10" t="s">
        <v>27</v>
      </c>
      <c r="K8" s="10"/>
      <c r="L8" s="10"/>
    </row>
    <row r="9" spans="1:16" ht="28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6" ht="18" customHeight="1">
      <c r="A10" s="10" t="s">
        <v>4</v>
      </c>
      <c r="B10" s="10"/>
      <c r="C10" s="10"/>
      <c r="D10" s="10" t="s">
        <v>5</v>
      </c>
      <c r="E10" s="10"/>
      <c r="F10" s="10"/>
      <c r="G10" s="10" t="s">
        <v>28</v>
      </c>
      <c r="H10" s="10"/>
      <c r="I10" s="10"/>
      <c r="J10" s="10" t="s">
        <v>29</v>
      </c>
      <c r="K10" s="10"/>
      <c r="L10" s="10"/>
      <c r="M10" s="10" t="s">
        <v>10</v>
      </c>
      <c r="N10" s="10"/>
      <c r="O10" s="10"/>
    </row>
    <row r="11" spans="1:16" ht="28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3" spans="1:16" ht="22" customHeight="1">
      <c r="A13" s="9" t="s">
        <v>30</v>
      </c>
    </row>
    <row r="14" spans="1:16" ht="24" customHeight="1">
      <c r="A14" s="12" t="s">
        <v>4</v>
      </c>
      <c r="B14" s="12"/>
      <c r="C14" s="12"/>
      <c r="D14" s="12"/>
      <c r="E14" s="12" t="s">
        <v>29</v>
      </c>
      <c r="F14" s="12"/>
      <c r="G14" s="12"/>
      <c r="H14" s="12"/>
      <c r="I14" s="12" t="s">
        <v>28</v>
      </c>
      <c r="J14" s="12"/>
      <c r="K14" s="12"/>
      <c r="L14" s="12"/>
      <c r="M14" s="12" t="s">
        <v>33</v>
      </c>
      <c r="N14" s="12"/>
      <c r="O14" s="12"/>
      <c r="P14" s="12"/>
    </row>
    <row r="15" spans="1:16" ht="20" customHeight="1">
      <c r="A15" s="13" t="s">
        <v>31</v>
      </c>
      <c r="B15" s="13"/>
      <c r="C15" s="13"/>
      <c r="D15" s="14" t="s">
        <v>32</v>
      </c>
      <c r="E15" s="13" t="s">
        <v>31</v>
      </c>
      <c r="F15" s="13"/>
      <c r="G15" s="13"/>
      <c r="H15" s="14" t="s">
        <v>32</v>
      </c>
      <c r="I15" s="13" t="s">
        <v>31</v>
      </c>
      <c r="J15" s="13"/>
      <c r="K15" s="13"/>
      <c r="L15" s="14" t="s">
        <v>32</v>
      </c>
      <c r="M15" s="13" t="s">
        <v>31</v>
      </c>
      <c r="N15" s="13"/>
      <c r="O15" s="13"/>
      <c r="P15" s="14" t="s">
        <v>32</v>
      </c>
    </row>
    <row r="16" spans="1:16" ht="20" customHeight="1">
      <c r="A16" s="15" cm="1">
        <f t="array" ref="A16">IFERROR(LET(col,LET(c,INDEX(rngFilter,0,5),IFERROR(_xlfn._xlws.FILTER(c,c&lt;&gt;""),"")),u,IFERROR(_xlfn.UNIQUE(col),""),c,IFERROR(_xlfn.BYROW(u,_xlfn.LAMBDA(v,SUMPRODUCT(--(col=v)))),0),_xlfn.CHOOSECOLS(_xlfn.TAKE(_xlfn._xlws.SORT(_xlfn.HSTACK(u,c),2,-1),5),1)),"")</f>
        <v>0</v>
      </c>
      <c r="B16" s="15"/>
      <c r="C16" s="15"/>
      <c r="D16" s="16" cm="1">
        <f t="array" ref="D16">IFERROR(LET(col,LET(c,INDEX(rngFilter,0,5),IFERROR(_xlfn._xlws.FILTER(c,c&lt;&gt;""),"")),u,IFERROR(_xlfn.UNIQUE(col),""),c,IFERROR(_xlfn.BYROW(u,_xlfn.LAMBDA(v,SUMPRODUCT(--(col=v)))),0),_xlfn.CHOOSECOLS(_xlfn.TAKE(_xlfn._xlws.SORT(_xlfn.HSTACK(u,c),2,-1),5),2)),"")</f>
        <v>0</v>
      </c>
      <c r="E16" s="15" cm="1">
        <f t="array" ref="E16">IFERROR(LET(col,LET(c,INDEX(rngFilter,0,15),IFERROR(_xlfn._xlws.FILTER(c,c&lt;&gt;""),"")),u,IFERROR(_xlfn.UNIQUE(col),""),c,IFERROR(_xlfn.BYROW(u,_xlfn.LAMBDA(v,SUMPRODUCT(--(col=v)))),0),_xlfn.CHOOSECOLS(_xlfn.TAKE(_xlfn._xlws.SORT(_xlfn.HSTACK(u,c),2,-1),5),1)),"")</f>
        <v>0</v>
      </c>
      <c r="F16" s="15"/>
      <c r="G16" s="15"/>
      <c r="H16" s="16" cm="1">
        <f t="array" ref="H16">IFERROR(LET(col,LET(c,INDEX(rngFilter,0,15),IFERROR(_xlfn._xlws.FILTER(c,c&lt;&gt;""),"")),u,IFERROR(_xlfn.UNIQUE(col),""),c,IFERROR(_xlfn.BYROW(u,_xlfn.LAMBDA(v,SUMPRODUCT(--(col=v)))),0),_xlfn.CHOOSECOLS(_xlfn.TAKE(_xlfn._xlws.SORT(_xlfn.HSTACK(u,c),2,-1),5),2)),"")</f>
        <v>0</v>
      </c>
      <c r="I16" s="15" cm="1">
        <f t="array" ref="I16">IFERROR(LET(col,LET(c,INDEX(rngFilter,0,8),IFERROR(_xlfn._xlws.FILTER(c,c&lt;&gt;""),"")),u,IFERROR(_xlfn.UNIQUE(col),""),c,IFERROR(_xlfn.BYROW(u,_xlfn.LAMBDA(v,SUMPRODUCT(--(col=v)))),0),_xlfn.CHOOSECOLS(_xlfn.TAKE(_xlfn._xlws.SORT(_xlfn.HSTACK(u,c),2,-1),5),1)),"")</f>
        <v>0</v>
      </c>
      <c r="J16" s="15"/>
      <c r="K16" s="15"/>
      <c r="L16" s="16" cm="1">
        <f t="array" ref="L16">IFERROR(LET(col,LET(c,INDEX(rngFilter,0,8),IFERROR(_xlfn._xlws.FILTER(c,c&lt;&gt;""),"")),u,IFERROR(_xlfn.UNIQUE(col),""),c,IFERROR(_xlfn.BYROW(u,_xlfn.LAMBDA(v,SUMPRODUCT(--(col=v)))),0),_xlfn.CHOOSECOLS(_xlfn.TAKE(_xlfn._xlws.SORT(_xlfn.HSTACK(u,c),2,-1),5),2)),"")</f>
        <v>0</v>
      </c>
      <c r="M16" s="15" cm="1">
        <f t="array" ref="M16">IFERROR(LET(col,LET(c1,INDEX(rngFilter,0,13),c2,INDEX(rngFilter,0,14),IFERROR(_xlfn._xlws.FILTER(_xlfn.VSTACK(c1,c2),_xlfn.VSTACK(c1,c2)&lt;&gt;""),"")),u,IFERROR(_xlfn.UNIQUE(col),""),c,IFERROR(_xlfn.BYROW(u,_xlfn.LAMBDA(v,SUMPRODUCT(--(col=v)))),0),_xlfn.CHOOSECOLS(_xlfn.TAKE(_xlfn._xlws.SORT(_xlfn.HSTACK(u,c),2,-1),5),1)),"")</f>
        <v>0</v>
      </c>
      <c r="N16" s="15"/>
      <c r="O16" s="15"/>
      <c r="P16" s="16" cm="1">
        <f t="array" ref="P16">IFERROR(LET(col,LET(c1,INDEX(rngFilter,0,13),c2,INDEX(rngFilter,0,14),IFERROR(_xlfn._xlws.FILTER(_xlfn.VSTACK(c1,c2),_xlfn.VSTACK(c1,c2)&lt;&gt;""),"")),u,IFERROR(_xlfn.UNIQUE(col),""),c,IFERROR(_xlfn.BYROW(u,_xlfn.LAMBDA(v,SUMPRODUCT(--(col=v)))),0),_xlfn.CHOOSECOLS(_xlfn.TAKE(_xlfn._xlws.SORT(_xlfn.HSTACK(u,c),2,-1),5),2)),"")</f>
        <v>0</v>
      </c>
    </row>
    <row r="17" spans="1:16" ht="20" customHeight="1">
      <c r="A17" s="15"/>
      <c r="B17" s="15"/>
      <c r="C17" s="15"/>
      <c r="D17" s="16"/>
      <c r="E17" s="15"/>
      <c r="F17" s="15"/>
      <c r="G17" s="15"/>
      <c r="H17" s="16"/>
      <c r="I17" s="15"/>
      <c r="J17" s="15"/>
      <c r="K17" s="15"/>
      <c r="L17" s="16"/>
      <c r="M17" s="15"/>
      <c r="N17" s="15"/>
      <c r="O17" s="15"/>
      <c r="P17" s="16"/>
    </row>
    <row r="18" spans="1:16" ht="20" customHeight="1">
      <c r="A18" s="15"/>
      <c r="B18" s="15"/>
      <c r="C18" s="15"/>
      <c r="D18" s="16"/>
      <c r="E18" s="15"/>
      <c r="F18" s="15"/>
      <c r="G18" s="15"/>
      <c r="H18" s="16"/>
      <c r="I18" s="15"/>
      <c r="J18" s="15"/>
      <c r="K18" s="15"/>
      <c r="L18" s="16"/>
      <c r="M18" s="15"/>
      <c r="N18" s="15"/>
      <c r="O18" s="15"/>
      <c r="P18" s="16"/>
    </row>
    <row r="19" spans="1:16" ht="20" customHeight="1">
      <c r="A19" s="15"/>
      <c r="B19" s="15"/>
      <c r="C19" s="15"/>
      <c r="D19" s="16"/>
      <c r="E19" s="15"/>
      <c r="F19" s="15"/>
      <c r="G19" s="15"/>
      <c r="H19" s="16"/>
      <c r="I19" s="15"/>
      <c r="J19" s="15"/>
      <c r="K19" s="15"/>
      <c r="L19" s="16"/>
      <c r="M19" s="15"/>
      <c r="N19" s="15"/>
      <c r="O19" s="15"/>
      <c r="P19" s="16"/>
    </row>
    <row r="20" spans="1:16" ht="20" customHeight="1">
      <c r="A20" s="15"/>
      <c r="B20" s="15"/>
      <c r="C20" s="15"/>
      <c r="D20" s="16"/>
      <c r="E20" s="15"/>
      <c r="F20" s="15"/>
      <c r="G20" s="15"/>
      <c r="H20" s="16"/>
      <c r="I20" s="15"/>
      <c r="J20" s="15"/>
      <c r="K20" s="15"/>
      <c r="L20" s="16"/>
      <c r="M20" s="15"/>
      <c r="N20" s="15"/>
      <c r="O20" s="15"/>
      <c r="P20" s="16"/>
    </row>
    <row r="22" spans="1:16" ht="24" customHeight="1">
      <c r="A22" s="9" t="s">
        <v>34</v>
      </c>
      <c r="F22" s="17">
        <f>IF((f_labels&lt;&gt;"")+(f_murl&lt;&gt;"")+(f_target&lt;&gt;"")+(f_owner&lt;&gt;"")+(f_status&lt;&gt;"")+(f_requester&lt;&gt;"")+(f_region&lt;&gt;"")+(f_division&lt;&gt;"")+(f_activation&lt;&gt;"")&gt;0,"FILTER AKTIV","Keine Filter gesetzt")</f>
        <v>0</v>
      </c>
      <c r="G22" s="17"/>
      <c r="H22" s="17"/>
      <c r="K22" s="18">
        <f>"Zeigt " &amp; TEXT(SUMPRODUCT(--(INDEX(rngFilter,0,2)&lt;&gt;"")),"#'##0") &amp; " von " &amp; TEXT(ROWS(tblData),"#'##0") &amp; " Einträgen"</f>
        <v>0</v>
      </c>
      <c r="L22" s="18"/>
      <c r="M22" s="18"/>
      <c r="N22" s="18"/>
      <c r="O22" s="18"/>
      <c r="P22" s="18"/>
    </row>
    <row r="23" spans="1:16" ht="26" customHeight="1">
      <c r="A23" s="19" t="s">
        <v>0</v>
      </c>
      <c r="B23" s="19" t="s">
        <v>1</v>
      </c>
      <c r="C23" s="19" t="s">
        <v>2</v>
      </c>
      <c r="D23" s="19" t="s">
        <v>3</v>
      </c>
      <c r="E23" s="19" t="s">
        <v>4</v>
      </c>
      <c r="F23" s="19" t="s">
        <v>5</v>
      </c>
      <c r="G23" s="19" t="s">
        <v>6</v>
      </c>
      <c r="H23" s="19" t="s">
        <v>7</v>
      </c>
      <c r="I23" s="19" t="s">
        <v>8</v>
      </c>
      <c r="J23" s="19" t="s">
        <v>9</v>
      </c>
      <c r="K23" s="19" t="s">
        <v>10</v>
      </c>
      <c r="L23" s="19" t="s">
        <v>11</v>
      </c>
      <c r="M23" s="19" t="s">
        <v>12</v>
      </c>
      <c r="N23" s="19" t="s">
        <v>13</v>
      </c>
      <c r="O23" s="19" t="s">
        <v>14</v>
      </c>
      <c r="P23" s="19" t="s">
        <v>15</v>
      </c>
    </row>
    <row r="24" spans="1:16">
      <c r="A24" cm="1">
        <f t="array" ref="A24">IFERROR(_xlfn._xlws.FILTER(tblData,(tblData[Reference]&lt;&gt;"")*((f_labels="")+ISNUMBER(SEARCH(f_labels,tblData[Labels])))*((f_murl="")+ISNUMBER(SEARCH(f_murl,tblData[MURL name])))*((f_target="")+ISNUMBER(SEARCH(f_target,tblData[Target URL])))*((f_owner="")+ISNUMBER(SEARCH(f_owner,tblData[GOTO/MURL Owner 1]))+ISNUMBER(SEARCH(f_owner,tblData[GOTO/MURL Owner 2])))*((f_status="")+ISNUMBER(SEARCH(f_status,tblData[Status])))*((f_requester="")+ISNUMBER(SEARCH(f_requester,tblData[Requester])))*((f_region="")+ISNUMBER(SEARCH(f_region,tblData[Region(s)])))*((f_division="")+ISNUMBER(SEARCH(f_division,tblData[Business Division requested for])))*((f_activation="")+ISNUMBER(SEARCH(f_activation,tblData[Activation])))),"Keine Treffer — Filter zurücksetzen")</f>
        <v>0</v>
      </c>
    </row>
  </sheetData>
  <mergeCells count="60">
    <mergeCell ref="A1:P1"/>
    <mergeCell ref="A2:P2"/>
    <mergeCell ref="A4:C4"/>
    <mergeCell ref="A5:C5"/>
    <mergeCell ref="D4:F4"/>
    <mergeCell ref="D5:F5"/>
    <mergeCell ref="G4:I4"/>
    <mergeCell ref="G5:I5"/>
    <mergeCell ref="J4:L4"/>
    <mergeCell ref="J5:L5"/>
    <mergeCell ref="M4:O4"/>
    <mergeCell ref="M5:O5"/>
    <mergeCell ref="A8:C8"/>
    <mergeCell ref="A9:C9"/>
    <mergeCell ref="D8:F8"/>
    <mergeCell ref="D9:F9"/>
    <mergeCell ref="G8:I8"/>
    <mergeCell ref="G9:I9"/>
    <mergeCell ref="J8:L8"/>
    <mergeCell ref="J9:L9"/>
    <mergeCell ref="A10:C10"/>
    <mergeCell ref="A11:C11"/>
    <mergeCell ref="D10:F10"/>
    <mergeCell ref="D11:F11"/>
    <mergeCell ref="G10:I10"/>
    <mergeCell ref="G11:I11"/>
    <mergeCell ref="J10:L10"/>
    <mergeCell ref="J11:L11"/>
    <mergeCell ref="M10:O10"/>
    <mergeCell ref="M11:O11"/>
    <mergeCell ref="A14:D14"/>
    <mergeCell ref="A15:C15"/>
    <mergeCell ref="A16:C16"/>
    <mergeCell ref="A17:C17"/>
    <mergeCell ref="A18:C18"/>
    <mergeCell ref="A19:C19"/>
    <mergeCell ref="A20:C20"/>
    <mergeCell ref="E14:H14"/>
    <mergeCell ref="E15:G15"/>
    <mergeCell ref="E16:G16"/>
    <mergeCell ref="E17:G17"/>
    <mergeCell ref="E18:G18"/>
    <mergeCell ref="E19:G19"/>
    <mergeCell ref="E20:G20"/>
    <mergeCell ref="I14:L14"/>
    <mergeCell ref="I15:K15"/>
    <mergeCell ref="I16:K16"/>
    <mergeCell ref="I17:K17"/>
    <mergeCell ref="I18:K18"/>
    <mergeCell ref="I19:K19"/>
    <mergeCell ref="I20:K20"/>
    <mergeCell ref="M14:P14"/>
    <mergeCell ref="M15:O15"/>
    <mergeCell ref="M16:O16"/>
    <mergeCell ref="M17:O17"/>
    <mergeCell ref="M18:O18"/>
    <mergeCell ref="M19:O19"/>
    <mergeCell ref="M20:O20"/>
    <mergeCell ref="F22:H22"/>
    <mergeCell ref="K22:P22"/>
  </mergeCells>
  <dataValidations count="5">
    <dataValidation type="list" allowBlank="1" showInputMessage="1" sqref="A11">
      <formula1>Lists!$A$1:$A$1</formula1>
    </dataValidation>
    <dataValidation type="list" allowBlank="1" showInputMessage="1" sqref="D11">
      <formula1>Lists!$C$1:$C$1</formula1>
    </dataValidation>
    <dataValidation type="list" allowBlank="1" showInputMessage="1" sqref="G11">
      <formula1>Lists!$E$1:$E$1</formula1>
    </dataValidation>
    <dataValidation type="list" allowBlank="1" showInputMessage="1" sqref="J11">
      <formula1>Lists!$G$1:$G$1</formula1>
    </dataValidation>
    <dataValidation type="list" allowBlank="1" showInputMessage="1" sqref="M11">
      <formula1>Lists!$I$1:$I$1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50.7109375" customWidth="1"/>
    <col min="4" max="4" width="14.7109375" customWidth="1"/>
    <col min="5" max="7" width="22.7109375" customWidth="1"/>
    <col min="8" max="8" width="14.7109375" customWidth="1"/>
    <col min="9" max="9" width="22.7109375" customWidth="1"/>
    <col min="10" max="10" width="24.7109375" customWidth="1"/>
    <col min="11" max="11" width="14.7109375" customWidth="1"/>
    <col min="12" max="12" width="24.7109375" customWidth="1"/>
    <col min="13" max="14" width="22.7109375" customWidth="1"/>
    <col min="15" max="15" width="30.7109375" customWidth="1"/>
    <col min="16" max="16" width="60.7109375" customWidth="1"/>
  </cols>
  <sheetData>
    <row r="1" spans="1:16" ht="2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1"/>
  <sheetViews>
    <sheetView showGridLines="0" workbookViewId="0"/>
  </sheetViews>
  <sheetFormatPr defaultRowHeight="15"/>
  <cols>
    <col min="1" max="1" width="130.7109375" customWidth="1"/>
  </cols>
  <sheetData>
    <row r="1" spans="1:1" ht="32" customHeight="1">
      <c r="A1" s="20" t="s">
        <v>35</v>
      </c>
    </row>
    <row r="2" spans="1:1">
      <c r="A2" s="21"/>
    </row>
    <row r="3" spans="1:1">
      <c r="A3" s="22" t="s">
        <v>36</v>
      </c>
    </row>
    <row r="4" spans="1:1">
      <c r="A4" s="21" t="s">
        <v>37</v>
      </c>
    </row>
    <row r="5" spans="1:1">
      <c r="A5" s="21" t="s">
        <v>38</v>
      </c>
    </row>
    <row r="6" spans="1:1">
      <c r="A6" s="21" t="s">
        <v>39</v>
      </c>
    </row>
    <row r="7" spans="1:1">
      <c r="A7" s="21" t="s">
        <v>40</v>
      </c>
    </row>
    <row r="8" spans="1:1">
      <c r="A8" s="21"/>
    </row>
    <row r="9" spans="1:1">
      <c r="A9" s="22" t="s">
        <v>41</v>
      </c>
    </row>
    <row r="10" spans="1:1">
      <c r="A10" s="21" t="s">
        <v>42</v>
      </c>
    </row>
    <row r="11" spans="1:1">
      <c r="A11" s="21"/>
    </row>
    <row r="12" spans="1:1">
      <c r="A12" s="22" t="s">
        <v>43</v>
      </c>
    </row>
    <row r="13" spans="1:1">
      <c r="A13" s="21" t="s">
        <v>44</v>
      </c>
    </row>
    <row r="14" spans="1:1">
      <c r="A14" s="21" t="s">
        <v>45</v>
      </c>
    </row>
    <row r="15" spans="1:1">
      <c r="A15" s="9" t="s">
        <v>46</v>
      </c>
    </row>
    <row r="16" spans="1:1">
      <c r="A16" s="21" t="s">
        <v>47</v>
      </c>
    </row>
    <row r="17" spans="1:1">
      <c r="A17" s="21" t="s">
        <v>48</v>
      </c>
    </row>
    <row r="18" spans="1:1">
      <c r="A18" s="21"/>
    </row>
    <row r="19" spans="1:1">
      <c r="A19" s="22" t="s">
        <v>49</v>
      </c>
    </row>
    <row r="20" spans="1:1">
      <c r="A20" s="21" t="s">
        <v>50</v>
      </c>
    </row>
    <row r="21" spans="1:1">
      <c r="A21" s="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Dashboard</vt:lpstr>
      <vt:lpstr>Data</vt:lpstr>
      <vt:lpstr>Lists</vt:lpstr>
      <vt:lpstr>Anleitung</vt:lpstr>
      <vt:lpstr>f_activation</vt:lpstr>
      <vt:lpstr>f_division</vt:lpstr>
      <vt:lpstr>f_labels</vt:lpstr>
      <vt:lpstr>f_murl</vt:lpstr>
      <vt:lpstr>f_owner</vt:lpstr>
      <vt:lpstr>f_region</vt:lpstr>
      <vt:lpstr>f_requester</vt:lpstr>
      <vt:lpstr>f_status</vt:lpstr>
      <vt:lpstr>f_target</vt:lpstr>
      <vt:lpstr>lstActivation</vt:lpstr>
      <vt:lpstr>lstDivision</vt:lpstr>
      <vt:lpstr>lstRegion</vt:lpstr>
      <vt:lpstr>lstRequester</vt:lpstr>
      <vt:lpstr>lstStatus</vt:lpstr>
      <vt:lpstr>rngFilter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2026-05-18T13:23:02Z</dcterms:created>
  <dcterms:modified xsi:type="dcterms:W3CDTF">2026-05-18T13:23:02Z</dcterms:modified>
</cp:coreProperties>
</file>